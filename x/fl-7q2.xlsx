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Change Log" sheetId="3" state="visible" r:id="rId5"/>
    <sheet name="Assumptions" sheetId="4" state="visible" r:id="rId6"/>
    <sheet name="How It Wor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<sst xmlns="http://schemas.openxmlformats.org/spreadsheetml/2006/main" count="142" uniqueCount="88">
  <si>
    <t xml:space="preserve">Facilities Dashboard</t>
  </si>
  <si>
    <t xml:space="preserve">Month</t>
  </si>
  <si>
    <t xml:space="preserve">Spent</t>
  </si>
  <si>
    <t xml:space="preserve">Completed</t>
  </si>
  <si>
    <t xml:space="preserve">Reported</t>
  </si>
  <si>
    <t xml:space="preserve">Jan</t>
  </si>
  <si>
    <t xml:space="preserve">WORK ORDERS REPORTED</t>
  </si>
  <si>
    <t xml:space="preserve">COMPLETED</t>
  </si>
  <si>
    <t xml:space="preserve">SPENT THIS YEAR</t>
  </si>
  <si>
    <t xml:space="preserve">CRITICAL REPORTED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</si>
  <si>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</si>
  <si>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</si>
  <si>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</si>
  <si>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</si>
  <si>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</si>
  <si>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</si>
  <si>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</si>
  <si>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</si>
  <si>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</si>
  <si>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</si>
  <si>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</si>
  <si>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Chart data. Leave as is.</t>
  </si>
  <si>
    <t xml:space="preserve">Full live dashboard (services, budget, replacements, grounds): open the app on a computer</t>
  </si>
  <si>
    <t xml:space="preserve">Facilities: Work Order Summary</t>
  </si>
  <si>
    <t xml:space="preserve">Counts come from the Change Log tab, which fills in on its own every time a work order changes in the app. Nothing on this tab needs typing.</t>
  </si>
  <si>
    <t xml:space="preserve">This month:</t>
  </si>
  <si>
    <t xml:space="preserve">This year:</t>
  </si>
  <si>
    <t xml:space="preserve">This month</t>
  </si>
  <si>
    <t xml:space="preserve">Station</t>
  </si>
  <si>
    <t xml:space="preserve">Critical reported</t>
  </si>
  <si>
    <t xml:space="preserve">Cancelled</t>
  </si>
  <si>
    <t xml:space="preserve">NCEMS share</t>
  </si>
  <si>
    <t xml:space="preserve">FD13 share</t>
  </si>
  <si>
    <t xml:space="preserve">Station 51</t>
  </si>
  <si>
    <t xml:space="preserve">Station 51.5</t>
  </si>
  <si>
    <t xml:space="preserve">Station 52</t>
  </si>
  <si>
    <t xml:space="preserve">Station 50</t>
  </si>
  <si>
    <t xml:space="preserve">All stations</t>
  </si>
  <si>
    <t xml:space="preserve">This year</t>
  </si>
  <si>
    <t xml:space="preserve">All time (since the log started)</t>
  </si>
  <si>
    <t xml:space="preserve">Spent = actual cost entered when a work order is marked Done. The NCEMS / FD13 split uses the cost share on the Assumptions tab.</t>
  </si>
  <si>
    <t xml:space="preserve">Open the Facilities and Grounds app</t>
  </si>
  <si>
    <t xml:space="preserve">Logged At</t>
  </si>
  <si>
    <t xml:space="preserve">Event</t>
  </si>
  <si>
    <t xml:space="preserve">Work Order</t>
  </si>
  <si>
    <t xml:space="preserve">Priority</t>
  </si>
  <si>
    <t xml:space="preserve">Status</t>
  </si>
  <si>
    <t xml:space="preserve">Category</t>
  </si>
  <si>
    <t xml:space="preserve">Location</t>
  </si>
  <si>
    <t xml:space="preserve">Assigned To</t>
  </si>
  <si>
    <t xml:space="preserve">Vendor</t>
  </si>
  <si>
    <t xml:space="preserve">Est Cost</t>
  </si>
  <si>
    <t xml:space="preserve">Actual Cost</t>
  </si>
  <si>
    <t xml:space="preserve">Date Done</t>
  </si>
  <si>
    <t xml:space="preserve">Changed By</t>
  </si>
  <si>
    <t xml:space="preserve">Item ID</t>
  </si>
  <si>
    <t xml:space="preserve">Link</t>
  </si>
  <si>
    <t xml:space="preserve">2026-10-10 13:30</t>
  </si>
  <si>
    <t xml:space="preserve">2026-10</t>
  </si>
  <si>
    <t xml:space="preserve">Setup</t>
  </si>
  <si>
    <t xml:space="preserve">Log started</t>
  </si>
  <si>
    <t xml:space="preserve">Doug Boyce</t>
  </si>
  <si>
    <t xml:space="preserve">Rows below are added automatically when a work order changes</t>
  </si>
  <si>
    <t xml:space="preserve">10/10/2026 13:39</t>
  </si>
  <si>
    <t xml:space="preserve">TEST: log check (ignore)</t>
  </si>
  <si>
    <t xml:space="preserve">Routine</t>
  </si>
  <si>
    <t xml:space="preserve">Open</t>
  </si>
  <si>
    <t xml:space="preserve">Other</t>
  </si>
  <si>
    <t xml:space="preserve">Test</t>
  </si>
  <si>
    <t xml:space="preserve">1</t>
  </si>
  <si>
    <t xml:space="preserve">https://northcountryemsorg.sharepoint.com/sites/FacilitiesandGrounds/Lists/Facility%20Work%20Orders/DispForm.aspx?ID=1</t>
  </si>
  <si>
    <t xml:space="preserve">10/10/2026 13:42</t>
  </si>
  <si>
    <t xml:space="preserve">Cost split by station</t>
  </si>
  <si>
    <t xml:space="preserve">Blue cells are the only thing to edit here. The Summary tab uses them to split spending between NCEMS and FD13.</t>
  </si>
  <si>
    <t xml:space="preserve">Note</t>
  </si>
  <si>
    <t xml:space="preserve">Main station, fire and EMS</t>
  </si>
  <si>
    <t xml:space="preserve">Admin modular building</t>
  </si>
  <si>
    <t xml:space="preserve">EMS station</t>
  </si>
  <si>
    <t xml:space="preserve">Fire sub station, Sunset Falls</t>
  </si>
  <si>
    <t xml:space="preserve">Source: cost split given by Doug Boyce, Oct 2026 (tentative).</t>
  </si>
  <si>
    <t xml:space="preserve">How this workbook works</t>
  </si>
  <si>
    <t xml:space="preserve">1. Every time a work order is reported or changed in the Facilities and Grounds app, a new row is added to the Change Log tab automatically.</t>
  </si>
  <si>
    <t xml:space="preserve">2. The Event column says what happened: Reported (new work order), Completed (marked Done), Cancelled, or Updated (anything else, like a note, a new assignee or a cost).</t>
  </si>
  <si>
    <t xml:space="preserve">3. The Dashboard tab charts it. The Summary tab counts those rows by station for this month, this year and all time, and totals what was spent with the NCEMS / FD13 split.</t>
  </si>
  <si>
    <t xml:space="preserve">4. Do not type in the Change Log. Make changes in the app and they show up here.</t>
  </si>
  <si>
    <t xml:space="preserve">5. Spending counts the actual cost on the Completed row. Enter the actual cost when you mark a work order Done.</t>
  </si>
  <si>
    <t xml:space="preserve">6. The only thing to edit by hand is the cost split on the Assumptions tab.</t>
  </si>
  <si>
    <t xml:space="preserve">Questions about the tracker: Doug Boyce. Questions about the work: Dennis Madler.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</si>
</sst>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$#,##0;&quot;-$&quot;#,##0;0"/>
    <numFmt numFmtId="167" formatCode="\$#,##0"/>
    <numFmt numFmtId="168" formatCode="0;\-0;\-"/>
    <numFmt numFmtId="169" formatCode="\$#,##0;&quot;($&quot;#,##0\);\-"/>
    <numFmt numFmtId="170" formatCode="\$#,##0.00"/>
    <numFmt numFmtId="171" formatCode="\$#,##0.00;&quot;($&quot;#,##0.00\);\-"/>
    <numFmt numFmtId="172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26"/>
      <color rgb="FF1F3A5F"/>
      <name val="Arial"/>
      <family val="0"/>
      <charset val="1"/>
    </font>
    <font>
      <b val="true"/>
      <sz val="26"/>
      <color rgb="FFC13E3E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999999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A5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22222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7F3"/>
        <bgColor rgb="FFF3F5F8"/>
      </patternFill>
    </fill>
    <fill>
      <patternFill patternType="solid">
        <fgColor rgb="FF1F3A5F"/>
        <bgColor rgb="FF333333"/>
      </patternFill>
    </fill>
    <fill>
      <patternFill patternType="solid">
        <fgColor rgb="FFF3F5F8"/>
        <bgColor rgb="FFF3F7F3"/>
      </patternFill>
    </fill>
    <fill>
      <patternFill patternType="solid">
        <fgColor rgb="FFFFF9DB"/>
        <bgColor rgb="FFF3F7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2E"/>
      <rgbColor rgb="FF000080"/>
      <rgbColor rgb="FF808000"/>
      <rgbColor rgb="FF800080"/>
      <rgbColor rgb="FF1F5C8B"/>
      <rgbColor rgb="FF9CC79C"/>
      <rgbColor rgb="FF878787"/>
      <rgbColor rgb="FF9999FF"/>
      <rgbColor rgb="FFC13E3E"/>
      <rgbColor rgb="FFFFF9DB"/>
      <rgbColor rgb="FFF3F7F3"/>
      <rgbColor rgb="FF660066"/>
      <rgbColor rgb="FFFF8080"/>
      <rgbColor rgb="FF0563C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8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A5F"/>
      <rgbColor rgb="FF339966"/>
      <rgbColor rgb="FF003300"/>
      <rgbColor rgb="FF222222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 orders this year by station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Summary!B15</c:f>
              <c:strCache>
                <c:ptCount val="1"/>
                <c:pt idx="0">
                  <c:v>Reported</c:v>
                </c:pt>
              </c:strCache>
            </c:strRef>
          </c:tx>
          <c:spPr>
            <a:solidFill>
              <a:srgbClr val="9cc79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Station 51</c:v>
                </c:pt>
                <c:pt idx="1">
                  <c:v>Station 51.5</c:v>
                </c:pt>
                <c:pt idx="2">
                  <c:v>Station 52</c:v>
                </c:pt>
                <c:pt idx="3">
                  <c:v>Station 50</c:v>
                </c:pt>
              </c:strCache>
            </c:strRef>
          </c:cat>
          <c:val>
            <c:numRef>
              <c:f>Summary!$B$16:$B$19</c:f>
              <c:numCache>
                <c:formatCode>0;\-0;\-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Summary!D15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e6b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Station 51</c:v>
                </c:pt>
                <c:pt idx="1">
                  <c:v>Station 51.5</c:v>
                </c:pt>
                <c:pt idx="2">
                  <c:v>Station 52</c:v>
                </c:pt>
                <c:pt idx="3">
                  <c:v>Station 50</c:v>
                </c:pt>
              </c:strCache>
            </c:strRef>
          </c:cat>
          <c:val>
            <c:numRef>
              <c:f>Summary!$D$16:$D$19</c:f>
              <c:numCache>
                <c:formatCode>0;\-0;\-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60"/>
        <c:overlap val="0"/>
        <c:axId val="77886924"/>
        <c:axId val="24468411"/>
      </c:barChart>
      <c:catAx>
        <c:axId val="77886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68411"/>
        <c:crosses val="autoZero"/>
        <c:auto val="1"/>
        <c:lblAlgn val="ctr"/>
        <c:lblOffset val="100"/>
        <c:noMultiLvlLbl val="0"/>
      </c:catAx>
      <c:valAx>
        <c:axId val="24468411"/>
        <c:scaling>
          <c:orientation val="minMax"/>
        </c:scaling>
        <c:delete val="0"/>
        <c:axPos val="l"/>
        <c:numFmt formatCode="0;\-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869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this year by station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Summary!G15</c:f>
              <c:strCache>
                <c:ptCount val="1"/>
                <c:pt idx="0">
                  <c:v>NCEMS share</c:v>
                </c:pt>
              </c:strCache>
            </c:strRef>
          </c:tx>
          <c:spPr>
            <a:solidFill>
              <a:srgbClr val="2e6b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Station 51</c:v>
                </c:pt>
                <c:pt idx="1">
                  <c:v>Station 51.5</c:v>
                </c:pt>
                <c:pt idx="2">
                  <c:v>Station 52</c:v>
                </c:pt>
                <c:pt idx="3">
                  <c:v>Station 50</c:v>
                </c:pt>
              </c:strCache>
            </c:strRef>
          </c:cat>
          <c:val>
            <c:numRef>
              <c:f>Summary!$G$16:$G$19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Summary!H15</c:f>
              <c:strCache>
                <c:ptCount val="1"/>
                <c:pt idx="0">
                  <c:v>FD13 share</c:v>
                </c:pt>
              </c:strCache>
            </c:strRef>
          </c:tx>
          <c:spPr>
            <a:solidFill>
              <a:srgbClr val="1f5c8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Station 51</c:v>
                </c:pt>
                <c:pt idx="1">
                  <c:v>Station 51.5</c:v>
                </c:pt>
                <c:pt idx="2">
                  <c:v>Station 52</c:v>
                </c:pt>
                <c:pt idx="3">
                  <c:v>Station 50</c:v>
                </c:pt>
              </c:strCache>
            </c:strRef>
          </c:cat>
          <c:val>
            <c:numRef>
              <c:f>Summary!$H$16:$H$19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60"/>
        <c:overlap val="100"/>
        <c:axId val="39235033"/>
        <c:axId val="71254898"/>
      </c:barChart>
      <c:catAx>
        <c:axId val="39235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54898"/>
        <c:crosses val="autoZero"/>
        <c:auto val="1"/>
        <c:lblAlgn val="ctr"/>
        <c:lblOffset val="100"/>
        <c:noMultiLvlLbl val="0"/>
      </c:catAx>
      <c:valAx>
        <c:axId val="7125489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350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by month this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Dashboard!Q4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2e6b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Dashboard!$P$5:$P$16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Dashboard!$Q$5:$Q$16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26953097"/>
        <c:axId val="34809514"/>
      </c:barChart>
      <c:catAx>
        <c:axId val="26953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09514"/>
        <c:crosses val="autoZero"/>
        <c:auto val="1"/>
        <c:lblAlgn val="ctr"/>
        <c:lblOffset val="100"/>
        <c:noMultiLvlLbl val="0"/>
      </c:catAx>
      <c:valAx>
        <c:axId val="34809514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53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Reported vs completed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Dashboard!S4</c:f>
              <c:strCache>
                <c:ptCount val="1"/>
                <c:pt idx="0">
                  <c:v>Reported</c:v>
                </c:pt>
              </c:strCache>
            </c:strRef>
          </c:tx>
          <c:spPr>
            <a:solidFill>
              <a:srgbClr val="9cc79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Dashboard!$P$5:$P$16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Dashboard!$S$5:$S$16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Dashboard!R4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e6b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Dashboard!$P$5:$P$16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Dashboard!$R$5:$R$16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17346034"/>
        <c:axId val="44772575"/>
      </c:barChart>
      <c:catAx>
        <c:axId val="17346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72575"/>
        <c:crosses val="autoZero"/>
        <c:auto val="1"/>
        <c:lblAlgn val="ctr"/>
        <c:lblOffset val="100"/>
        <c:noMultiLvlLbl val="0"/>
      </c:catAx>
      <c:valAx>
        <c:axId val="44772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60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70560</xdr:rowOff>
    </xdr:from>
    <xdr:to>
      <xdr:col>5</xdr:col>
      <xdr:colOff>939600</xdr:colOff>
      <xdr:row>21</xdr:row>
      <xdr:rowOff>185400</xdr:rowOff>
    </xdr:to>
    <xdr:graphicFrame>
      <xdr:nvGraphicFramePr>
        <xdr:cNvPr id="0" name="Chart 1"/>
        <xdr:cNvGraphicFramePr/>
      </xdr:nvGraphicFramePr>
      <xdr:xfrm>
        <a:off x="141120" y="2000160"/>
        <a:ext cx="446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70560</xdr:rowOff>
    </xdr:from>
    <xdr:to>
      <xdr:col>11</xdr:col>
      <xdr:colOff>939240</xdr:colOff>
      <xdr:row>21</xdr:row>
      <xdr:rowOff>185400</xdr:rowOff>
    </xdr:to>
    <xdr:graphicFrame>
      <xdr:nvGraphicFramePr>
        <xdr:cNvPr id="1" name="Chart 2"/>
        <xdr:cNvGraphicFramePr/>
      </xdr:nvGraphicFramePr>
      <xdr:xfrm>
        <a:off x="4933800" y="2000160"/>
        <a:ext cx="446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70560</xdr:rowOff>
    </xdr:from>
    <xdr:to>
      <xdr:col>5</xdr:col>
      <xdr:colOff>939600</xdr:colOff>
      <xdr:row>37</xdr:row>
      <xdr:rowOff>185760</xdr:rowOff>
    </xdr:to>
    <xdr:graphicFrame>
      <xdr:nvGraphicFramePr>
        <xdr:cNvPr id="2" name="Chart 3"/>
        <xdr:cNvGraphicFramePr/>
      </xdr:nvGraphicFramePr>
      <xdr:xfrm>
        <a:off x="141120" y="5048280"/>
        <a:ext cx="446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70560</xdr:rowOff>
    </xdr:from>
    <xdr:to>
      <xdr:col>11</xdr:col>
      <xdr:colOff>939240</xdr:colOff>
      <xdr:row>37</xdr:row>
      <xdr:rowOff>185760</xdr:rowOff>
    </xdr:to>
    <xdr:graphicFrame>
      <xdr:nvGraphicFramePr>
        <xdr:cNvPr id="3" name="Chart 4"/>
        <xdr:cNvGraphicFramePr/>
      </xdr:nvGraphicFramePr>
      <xdr:xfrm>
        <a:off x="4933800" y="5048280"/>
        <a:ext cx="446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WorkOrderLog" displayName="WorkOrderLog" ref="A1:Q4" headerRowCount="1" totalsRowCount="0" totalsRowShown="0">
  <autoFilter ref="A1:Q4"/>
  <tableColumns count="17">
    <tableColumn id="1" name="Logged At"/>
    <tableColumn id="2" name="Month"/>
    <tableColumn id="3" name="Event"/>
    <tableColumn id="4" name="Station"/>
    <tableColumn id="5" name="Work Order"/>
    <tableColumn id="6" name="Priority"/>
    <tableColumn id="7" name="Status"/>
    <tableColumn id="8" name="Category"/>
    <tableColumn id="9" name="Location"/>
    <tableColumn id="10" name="Assigned To"/>
    <tableColumn id="11" name="Vendor"/>
    <tableColumn id="12" name="Est Cost"/>
    <tableColumn id="13" name="Actual Cost"/>
    <tableColumn id="14" name="Date Done"/>
    <tableColumn id="15" name="Changed By"/>
    <tableColumn id="16" name="Item ID"/>
    <tableColumn id="17" name="Li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maildougb.github.io/grounds-tracker/?view=dash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maildougb.github.io/grounds-tracker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6"/>
    <col collapsed="false" customWidth="true" hidden="false" outlineLevel="0" max="4" min="4" style="0" width="2"/>
    <col collapsed="false" customWidth="true" hidden="false" outlineLevel="0" max="6" min="5" style="0" width="16"/>
    <col collapsed="false" customWidth="true" hidden="false" outlineLevel="0" max="7" min="7" style="0" width="2"/>
    <col collapsed="false" customWidth="true" hidden="false" outlineLevel="0" max="9" min="8" style="0" width="16"/>
    <col collapsed="false" customWidth="true" hidden="false" outlineLevel="0" max="10" min="10" style="0" width="2"/>
    <col collapsed="false" customWidth="true" hidden="false" outlineLevel="0" max="12" min="11" style="0" width="16"/>
    <col collapsed="false" customWidth="true" hidden="false" outlineLevel="0" max="14" min="13" style="0" width="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tr">
        <f aca="false">"This year: "&amp;Summary!E4&amp;"   ·   Updates on its own from the Change Log"</f>
        <v>This year: 2026   ·   Updates on its own from the Change Log</v>
      </c>
    </row>
    <row r="4" customFormat="false" ht="15" hidden="false" customHeight="false" outlineLevel="0" collapsed="false">
      <c r="P4" s="3" t="s">
        <v>1</v>
      </c>
      <c r="Q4" s="3" t="s">
        <v>2</v>
      </c>
      <c r="R4" s="3" t="s">
        <v>3</v>
      </c>
      <c r="S4" s="3" t="s">
        <v>4</v>
      </c>
    </row>
    <row r="5" customFormat="false" ht="37.5" hidden="false" customHeight="true" outlineLevel="0" collapsed="false">
      <c r="B5" s="4" t="n">
        <f aca="false">Summary!B20</f>
        <v>1</v>
      </c>
      <c r="C5" s="4"/>
      <c r="E5" s="4" t="n">
        <f aca="false">Summary!D20</f>
        <v>0</v>
      </c>
      <c r="F5" s="4"/>
      <c r="H5" s="5" t="n">
        <f aca="false">Summary!F20</f>
        <v>0</v>
      </c>
      <c r="I5" s="5"/>
      <c r="K5" s="6" t="n">
        <f aca="false">Summary!C20</f>
        <v>0</v>
      </c>
      <c r="L5" s="6"/>
      <c r="P5" s="7" t="s">
        <v>5</v>
      </c>
      <c r="Q5" s="8" t="n">
        <f aca="false">SUMIFS('Change Log'!$M:$M,'Change Log'!$B:$B,Summary!$E$4&amp;"-01",'Change Log'!$C:$C,"Completed")</f>
        <v>0</v>
      </c>
      <c r="R5" s="7" t="n">
        <f aca="false">COUNTIFS('Change Log'!$B:$B,Summary!$E$4&amp;"-01",'Change Log'!$C:$C,"Completed")</f>
        <v>0</v>
      </c>
      <c r="S5" s="7" t="n">
        <f aca="false">COUNTIFS('Change Log'!$B:$B,Summary!$E$4&amp;"-01",'Change Log'!$C:$C,"Reported")</f>
        <v>0</v>
      </c>
    </row>
    <row r="6" customFormat="false" ht="15" hidden="false" customHeight="false" outlineLevel="0" collapsed="false">
      <c r="B6" s="9" t="s">
        <v>6</v>
      </c>
      <c r="C6" s="9"/>
      <c r="E6" s="9" t="s">
        <v>7</v>
      </c>
      <c r="F6" s="9"/>
      <c r="H6" s="9" t="s">
        <v>8</v>
      </c>
      <c r="I6" s="9"/>
      <c r="K6" s="9" t="s">
        <v>9</v>
      </c>
      <c r="L6" s="9"/>
      <c r="P6" s="7" t="s">
        <v>10</v>
      </c>
      <c r="Q6" s="8" t="n">
        <f aca="false">SUMIFS('Change Log'!$M:$M,'Change Log'!$B:$B,Summary!$E$4&amp;"-02",'Change Log'!$C:$C,"Completed")</f>
        <v>0</v>
      </c>
      <c r="R6" s="7" t="n">
        <f aca="false">COUNTIFS('Change Log'!$B:$B,Summary!$E$4&amp;"-02",'Change Log'!$C:$C,"Completed")</f>
        <v>0</v>
      </c>
      <c r="S6" s="7" t="n">
        <f aca="false">COUNTIFS('Change Log'!$B:$B,Summary!$E$4&amp;"-02",'Change Log'!$C:$C,"Reported")</f>
        <v>0</v>
      </c>
    </row>
    <row r="7" customFormat="false" ht="15" hidden="false" customHeight="false" outlineLevel="0" collapsed="false">
      <c r="P7" s="7" t="s">
        <v>11</v>
      </c>
      <c r="Q7" s="8" t="n">
        <f aca="false">SUMIFS('Change Log'!$M:$M,'Change Log'!$B:$B,Summary!$E$4&amp;"-03",'Change Log'!$C:$C,"Completed")</f>
        <v>0</v>
      </c>
      <c r="R7" s="7" t="n">
        <f aca="false">COUNTIFS('Change Log'!$B:$B,Summary!$E$4&amp;"-03",'Change Log'!$C:$C,"Completed")</f>
        <v>0</v>
      </c>
      <c r="S7" s="7" t="n">
        <f aca="false">COUNTIFS('Change Log'!$B:$B,Summary!$E$4&amp;"-03",'Change Log'!$C:$C,"Reported")</f>
        <v>0</v>
      </c>
    </row>
    <row r="8" customFormat="false" ht="15" hidden="false" customHeight="false" outlineLevel="0" collapsed="false">
      <c r="B8" s="10" t="str">
        <f aca="false">"NCEMS share "&amp;TEXT(Summary!G20,"$#,##0")&amp;"   ·   FD13 share "&amp;TEXT(Summary!H20,"$#,##0")&amp;"   ·   split from the Assumptions tab"</f>
        <v>NCEMS share $0   ·   FD13 share $0   ·   split from the Assumptions tab</v>
      </c>
      <c r="P8" s="7" t="s">
        <v>12</v>
      </c>
      <c r="Q8" s="8" t="n">
        <f aca="false">SUMIFS('Change Log'!$M:$M,'Change Log'!$B:$B,Summary!$E$4&amp;"-04",'Change Log'!$C:$C,"Completed")</f>
        <v>0</v>
      </c>
      <c r="R8" s="7" t="n">
        <f aca="false">COUNTIFS('Change Log'!$B:$B,Summary!$E$4&amp;"-04",'Change Log'!$C:$C,"Completed")</f>
        <v>0</v>
      </c>
      <c r="S8" s="7" t="n">
        <f aca="false">COUNTIFS('Change Log'!$B:$B,Summary!$E$4&amp;"-04",'Change Log'!$C:$C,"Reported")</f>
        <v>0</v>
      </c>
    </row>
    <row r="9" customFormat="false" ht="15" hidden="false" customHeight="false" outlineLevel="0" collapsed="false">
      <c r="P9" s="7" t="s">
        <v>13</v>
      </c>
      <c r="Q9" s="8" t="n">
        <f aca="false">SUMIFS('Change Log'!$M:$M,'Change Log'!$B:$B,Summary!$E$4&amp;"-05",'Change Log'!$C:$C,"Completed")</f>
        <v>0</v>
      </c>
      <c r="R9" s="7" t="n">
        <f aca="false">COUNTIFS('Change Log'!$B:$B,Summary!$E$4&amp;"-05",'Change Log'!$C:$C,"Completed")</f>
        <v>0</v>
      </c>
      <c r="S9" s="7" t="n">
        <f aca="false">COUNTIFS('Change Log'!$B:$B,Summary!$E$4&amp;"-05",'Change Log'!$C:$C,"Reported")</f>
        <v>0</v>
      </c>
    </row>
    <row r="10" customFormat="false" ht="15" hidden="false" customHeight="false" outlineLevel="0" collapsed="false">
      <c r="P10" s="7" t="s">
        <v>14</v>
      </c>
      <c r="Q10" s="8" t="n">
        <f aca="false">SUMIFS('Change Log'!$M:$M,'Change Log'!$B:$B,Summary!$E$4&amp;"-06",'Change Log'!$C:$C,"Completed")</f>
        <v>0</v>
      </c>
      <c r="R10" s="7" t="n">
        <f aca="false">COUNTIFS('Change Log'!$B:$B,Summary!$E$4&amp;"-06",'Change Log'!$C:$C,"Completed")</f>
        <v>0</v>
      </c>
      <c r="S10" s="7" t="n">
        <f aca="false">COUNTIFS('Change Log'!$B:$B,Summary!$E$4&amp;"-06",'Change Log'!$C:$C,"Reported")</f>
        <v>0</v>
      </c>
    </row>
    <row r="11" customFormat="false" ht="15" hidden="false" customHeight="false" outlineLevel="0" collapsed="false">
      <c r="P11" s="7" t="s">
        <v>15</v>
      </c>
      <c r="Q11" s="8" t="n">
        <f aca="false">SUMIFS('Change Log'!$M:$M,'Change Log'!$B:$B,Summary!$E$4&amp;"-07",'Change Log'!$C:$C,"Completed")</f>
        <v>0</v>
      </c>
      <c r="R11" s="7" t="n">
        <f aca="false">COUNTIFS('Change Log'!$B:$B,Summary!$E$4&amp;"-07",'Change Log'!$C:$C,"Completed")</f>
        <v>0</v>
      </c>
      <c r="S11" s="7" t="n">
        <f aca="false">COUNTIFS('Change Log'!$B:$B,Summary!$E$4&amp;"-07",'Change Log'!$C:$C,"Reported")</f>
        <v>0</v>
      </c>
    </row>
    <row r="12" customFormat="false" ht="15" hidden="false" customHeight="false" outlineLevel="0" collapsed="false">
      <c r="P12" s="7" t="s">
        <v>16</v>
      </c>
      <c r="Q12" s="8" t="n">
        <f aca="false">SUMIFS('Change Log'!$M:$M,'Change Log'!$B:$B,Summary!$E$4&amp;"-08",'Change Log'!$C:$C,"Completed")</f>
        <v>0</v>
      </c>
      <c r="R12" s="7" t="n">
        <f aca="false">COUNTIFS('Change Log'!$B:$B,Summary!$E$4&amp;"-08",'Change Log'!$C:$C,"Completed")</f>
        <v>0</v>
      </c>
      <c r="S12" s="7" t="n">
        <f aca="false">COUNTIFS('Change Log'!$B:$B,Summary!$E$4&amp;"-08",'Change Log'!$C:$C,"Reported")</f>
        <v>0</v>
      </c>
    </row>
    <row r="13" customFormat="false" ht="15" hidden="false" customHeight="false" outlineLevel="0" collapsed="false">
      <c r="P13" s="7" t="s">
        <v>17</v>
      </c>
      <c r="Q13" s="8" t="n">
        <f aca="false">SUMIFS('Change Log'!$M:$M,'Change Log'!$B:$B,Summary!$E$4&amp;"-09",'Change Log'!$C:$C,"Completed")</f>
        <v>0</v>
      </c>
      <c r="R13" s="7" t="n">
        <f aca="false">COUNTIFS('Change Log'!$B:$B,Summary!$E$4&amp;"-09",'Change Log'!$C:$C,"Completed")</f>
        <v>0</v>
      </c>
      <c r="S13" s="7" t="n">
        <f aca="false">COUNTIFS('Change Log'!$B:$B,Summary!$E$4&amp;"-09",'Change Log'!$C:$C,"Reported")</f>
        <v>0</v>
      </c>
    </row>
    <row r="14" customFormat="false" ht="15" hidden="false" customHeight="false" outlineLevel="0" collapsed="false">
      <c r="P14" s="7" t="s">
        <v>18</v>
      </c>
      <c r="Q14" s="8" t="n">
        <f aca="false">SUMIFS('Change Log'!$M:$M,'Change Log'!$B:$B,Summary!$E$4&amp;"-10",'Change Log'!$C:$C,"Completed")</f>
        <v>0</v>
      </c>
      <c r="R14" s="7" t="n">
        <f aca="false">COUNTIFS('Change Log'!$B:$B,Summary!$E$4&amp;"-10",'Change Log'!$C:$C,"Completed")</f>
        <v>0</v>
      </c>
      <c r="S14" s="7" t="n">
        <f aca="false">COUNTIFS('Change Log'!$B:$B,Summary!$E$4&amp;"-10",'Change Log'!$C:$C,"Reported")</f>
        <v>1</v>
      </c>
    </row>
    <row r="15" customFormat="false" ht="15" hidden="false" customHeight="false" outlineLevel="0" collapsed="false">
      <c r="P15" s="7" t="s">
        <v>19</v>
      </c>
      <c r="Q15" s="8" t="n">
        <f aca="false">SUMIFS('Change Log'!$M:$M,'Change Log'!$B:$B,Summary!$E$4&amp;"-11",'Change Log'!$C:$C,"Completed")</f>
        <v>0</v>
      </c>
      <c r="R15" s="7" t="n">
        <f aca="false">COUNTIFS('Change Log'!$B:$B,Summary!$E$4&amp;"-11",'Change Log'!$C:$C,"Completed")</f>
        <v>0</v>
      </c>
      <c r="S15" s="7" t="n">
        <f aca="false">COUNTIFS('Change Log'!$B:$B,Summary!$E$4&amp;"-11",'Change Log'!$C:$C,"Reported")</f>
        <v>0</v>
      </c>
    </row>
    <row r="16" customFormat="false" ht="15" hidden="false" customHeight="false" outlineLevel="0" collapsed="false">
      <c r="P16" s="7" t="s">
        <v>20</v>
      </c>
      <c r="Q16" s="8" t="n">
        <f aca="false">SUMIFS('Change Log'!$M:$M,'Change Log'!$B:$B,Summary!$E$4&amp;"-12",'Change Log'!$C:$C,"Completed")</f>
        <v>0</v>
      </c>
      <c r="R16" s="7" t="n">
        <f aca="false">COUNTIFS('Change Log'!$B:$B,Summary!$E$4&amp;"-12",'Change Log'!$C:$C,"Completed")</f>
        <v>0</v>
      </c>
      <c r="S16" s="7" t="n">
        <f aca="false">COUNTIFS('Change Log'!$B:$B,Summary!$E$4&amp;"-12",'Change Log'!$C:$C,"Reported")</f>
        <v>0</v>
      </c>
    </row>
    <row r="18" customFormat="false" ht="15" hidden="false" customHeight="false" outlineLevel="0" collapsed="false">
      <c r="P18" s="11" t="s">
        <v>21</v>
      </c>
    </row>
    <row r="42" customFormat="false" ht="15" hidden="false" customHeight="false" outlineLevel="0" collapsed="false">
      <c r="B42" s="12" t="s">
        <v>22</v>
      </c>
    </row>
  </sheetData>
  <mergeCells count="8">
    <mergeCell ref="B5:C5"/>
    <mergeCell ref="E5:F5"/>
    <mergeCell ref="H5:I5"/>
    <mergeCell ref="K5:L5"/>
    <mergeCell ref="B6:C6"/>
    <mergeCell ref="E6:F6"/>
    <mergeCell ref="H6:I6"/>
    <mergeCell ref="K6:L6"/>
  </mergeCells>
  <hyperlinks>
    <hyperlink ref="B42" r:id="rId1" display="Full live dashboard (services, budget, replacements, grounds): open the app on a compu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3" t="s">
        <v>23</v>
      </c>
    </row>
    <row r="2" customFormat="false" ht="15" hidden="false" customHeight="false" outlineLevel="0" collapsed="false">
      <c r="A2" s="14" t="s">
        <v>24</v>
      </c>
    </row>
    <row r="4" customFormat="false" ht="15" hidden="false" customHeight="false" outlineLevel="0" collapsed="false">
      <c r="A4" s="15" t="s">
        <v>25</v>
      </c>
      <c r="B4" s="16" t="str">
        <f aca="true">TEXT(TODAY(),"yyyy-mm")</f>
        <v>2026-10</v>
      </c>
      <c r="D4" s="15" t="s">
        <v>26</v>
      </c>
      <c r="E4" s="16" t="str">
        <f aca="true">TEXT(TODAY(),"yyyy")</f>
        <v>2026</v>
      </c>
    </row>
    <row r="6" customFormat="false" ht="15" hidden="false" customHeight="false" outlineLevel="0" collapsed="false">
      <c r="A6" s="17" t="s">
        <v>27</v>
      </c>
    </row>
    <row r="7" customFormat="false" ht="30" hidden="false" customHeight="true" outlineLevel="0" collapsed="false">
      <c r="A7" s="18" t="s">
        <v>28</v>
      </c>
      <c r="B7" s="18" t="s">
        <v>4</v>
      </c>
      <c r="C7" s="18" t="s">
        <v>29</v>
      </c>
      <c r="D7" s="18" t="s">
        <v>3</v>
      </c>
      <c r="E7" s="18" t="s">
        <v>30</v>
      </c>
      <c r="F7" s="18" t="s">
        <v>2</v>
      </c>
      <c r="G7" s="18" t="s">
        <v>31</v>
      </c>
      <c r="H7" s="18" t="s">
        <v>32</v>
      </c>
    </row>
    <row r="8" customFormat="false" ht="15" hidden="false" customHeight="false" outlineLevel="0" collapsed="false">
      <c r="A8" s="19" t="s">
        <v>33</v>
      </c>
      <c r="B8" s="20" t="n">
        <f aca="false">COUNTIFS('Change Log'!$D:$D,$A8,'Change Log'!$B:$B,$B$4,'Change Log'!$C:$C,"Reported")</f>
        <v>1</v>
      </c>
      <c r="C8" s="20" t="n">
        <f aca="false">COUNTIFS('Change Log'!$D:$D,$A8,'Change Log'!$B:$B,$B$4,'Change Log'!$C:$C,"Reported",'Change Log'!$F:$F,"Critical")</f>
        <v>0</v>
      </c>
      <c r="D8" s="20" t="n">
        <f aca="false">COUNTIFS('Change Log'!$D:$D,$A8,'Change Log'!$B:$B,$B$4,'Change Log'!$C:$C,"Completed")</f>
        <v>0</v>
      </c>
      <c r="E8" s="20" t="n">
        <f aca="false">COUNTIFS('Change Log'!$D:$D,$A8,'Change Log'!$B:$B,$B$4,'Change Log'!$C:$C,"Cancelled")</f>
        <v>1</v>
      </c>
      <c r="F8" s="21" t="n">
        <f aca="false">SUMIFS('Change Log'!$M:$M,'Change Log'!$D:$D,$A8,'Change Log'!$B:$B,$B$4,'Change Log'!$C:$C,"Completed")</f>
        <v>0</v>
      </c>
      <c r="G8" s="21" t="n">
        <f aca="false">F8*Assumptions!$B$4</f>
        <v>0</v>
      </c>
      <c r="H8" s="21" t="n">
        <f aca="false">F8-G8</f>
        <v>0</v>
      </c>
    </row>
    <row r="9" customFormat="false" ht="15" hidden="false" customHeight="false" outlineLevel="0" collapsed="false">
      <c r="A9" s="19" t="s">
        <v>34</v>
      </c>
      <c r="B9" s="20" t="n">
        <f aca="false">COUNTIFS('Change Log'!$D:$D,$A9,'Change Log'!$B:$B,$B$4,'Change Log'!$C:$C,"Reported")</f>
        <v>0</v>
      </c>
      <c r="C9" s="20" t="n">
        <f aca="false">COUNTIFS('Change Log'!$D:$D,$A9,'Change Log'!$B:$B,$B$4,'Change Log'!$C:$C,"Reported",'Change Log'!$F:$F,"Critical")</f>
        <v>0</v>
      </c>
      <c r="D9" s="20" t="n">
        <f aca="false">COUNTIFS('Change Log'!$D:$D,$A9,'Change Log'!$B:$B,$B$4,'Change Log'!$C:$C,"Completed")</f>
        <v>0</v>
      </c>
      <c r="E9" s="20" t="n">
        <f aca="false">COUNTIFS('Change Log'!$D:$D,$A9,'Change Log'!$B:$B,$B$4,'Change Log'!$C:$C,"Cancelled")</f>
        <v>0</v>
      </c>
      <c r="F9" s="21" t="n">
        <f aca="false">SUMIFS('Change Log'!$M:$M,'Change Log'!$D:$D,$A9,'Change Log'!$B:$B,$B$4,'Change Log'!$C:$C,"Completed")</f>
        <v>0</v>
      </c>
      <c r="G9" s="21" t="n">
        <f aca="false">F9*Assumptions!$B$5</f>
        <v>0</v>
      </c>
      <c r="H9" s="21" t="n">
        <f aca="false">F9-G9</f>
        <v>0</v>
      </c>
    </row>
    <row r="10" customFormat="false" ht="15" hidden="false" customHeight="false" outlineLevel="0" collapsed="false">
      <c r="A10" s="19" t="s">
        <v>35</v>
      </c>
      <c r="B10" s="20" t="n">
        <f aca="false">COUNTIFS('Change Log'!$D:$D,$A10,'Change Log'!$B:$B,$B$4,'Change Log'!$C:$C,"Reported")</f>
        <v>0</v>
      </c>
      <c r="C10" s="20" t="n">
        <f aca="false">COUNTIFS('Change Log'!$D:$D,$A10,'Change Log'!$B:$B,$B$4,'Change Log'!$C:$C,"Reported",'Change Log'!$F:$F,"Critical")</f>
        <v>0</v>
      </c>
      <c r="D10" s="20" t="n">
        <f aca="false">COUNTIFS('Change Log'!$D:$D,$A10,'Change Log'!$B:$B,$B$4,'Change Log'!$C:$C,"Completed")</f>
        <v>0</v>
      </c>
      <c r="E10" s="20" t="n">
        <f aca="false">COUNTIFS('Change Log'!$D:$D,$A10,'Change Log'!$B:$B,$B$4,'Change Log'!$C:$C,"Cancelled")</f>
        <v>0</v>
      </c>
      <c r="F10" s="21" t="n">
        <f aca="false">SUMIFS('Change Log'!$M:$M,'Change Log'!$D:$D,$A10,'Change Log'!$B:$B,$B$4,'Change Log'!$C:$C,"Completed")</f>
        <v>0</v>
      </c>
      <c r="G10" s="21" t="n">
        <f aca="false">F10*Assumptions!$B$6</f>
        <v>0</v>
      </c>
      <c r="H10" s="21" t="n">
        <f aca="false">F10-G10</f>
        <v>0</v>
      </c>
    </row>
    <row r="11" customFormat="false" ht="15" hidden="false" customHeight="false" outlineLevel="0" collapsed="false">
      <c r="A11" s="19" t="s">
        <v>36</v>
      </c>
      <c r="B11" s="20" t="n">
        <f aca="false">COUNTIFS('Change Log'!$D:$D,$A11,'Change Log'!$B:$B,$B$4,'Change Log'!$C:$C,"Reported")</f>
        <v>0</v>
      </c>
      <c r="C11" s="20" t="n">
        <f aca="false">COUNTIFS('Change Log'!$D:$D,$A11,'Change Log'!$B:$B,$B$4,'Change Log'!$C:$C,"Reported",'Change Log'!$F:$F,"Critical")</f>
        <v>0</v>
      </c>
      <c r="D11" s="20" t="n">
        <f aca="false">COUNTIFS('Change Log'!$D:$D,$A11,'Change Log'!$B:$B,$B$4,'Change Log'!$C:$C,"Completed")</f>
        <v>0</v>
      </c>
      <c r="E11" s="20" t="n">
        <f aca="false">COUNTIFS('Change Log'!$D:$D,$A11,'Change Log'!$B:$B,$B$4,'Change Log'!$C:$C,"Cancelled")</f>
        <v>0</v>
      </c>
      <c r="F11" s="21" t="n">
        <f aca="false">SUMIFS('Change Log'!$M:$M,'Change Log'!$D:$D,$A11,'Change Log'!$B:$B,$B$4,'Change Log'!$C:$C,"Completed")</f>
        <v>0</v>
      </c>
      <c r="G11" s="21" t="n">
        <f aca="false">F11*Assumptions!$B$7</f>
        <v>0</v>
      </c>
      <c r="H11" s="21" t="n">
        <f aca="false">F11-G11</f>
        <v>0</v>
      </c>
    </row>
    <row r="12" customFormat="false" ht="15" hidden="false" customHeight="false" outlineLevel="0" collapsed="false">
      <c r="A12" s="22" t="s">
        <v>37</v>
      </c>
      <c r="B12" s="23" t="n">
        <f aca="false">SUM(B8:B11)</f>
        <v>1</v>
      </c>
      <c r="C12" s="23" t="n">
        <f aca="false">SUM(C8:C11)</f>
        <v>0</v>
      </c>
      <c r="D12" s="23" t="n">
        <f aca="false">SUM(D8:D11)</f>
        <v>0</v>
      </c>
      <c r="E12" s="23" t="n">
        <f aca="false">SUM(E8:E11)</f>
        <v>1</v>
      </c>
      <c r="F12" s="24" t="n">
        <f aca="false">SUM(F8:F11)</f>
        <v>0</v>
      </c>
      <c r="G12" s="24" t="n">
        <f aca="false">SUM(G8:G11)</f>
        <v>0</v>
      </c>
      <c r="H12" s="24" t="n">
        <f aca="false">SUM(H8:H11)</f>
        <v>0</v>
      </c>
    </row>
    <row r="14" customFormat="false" ht="15" hidden="false" customHeight="false" outlineLevel="0" collapsed="false">
      <c r="A14" s="17" t="s">
        <v>38</v>
      </c>
    </row>
    <row r="15" customFormat="false" ht="30" hidden="false" customHeight="true" outlineLevel="0" collapsed="false">
      <c r="A15" s="18" t="s">
        <v>28</v>
      </c>
      <c r="B15" s="18" t="s">
        <v>4</v>
      </c>
      <c r="C15" s="18" t="s">
        <v>29</v>
      </c>
      <c r="D15" s="18" t="s">
        <v>3</v>
      </c>
      <c r="E15" s="18" t="s">
        <v>30</v>
      </c>
      <c r="F15" s="18" t="s">
        <v>2</v>
      </c>
      <c r="G15" s="18" t="s">
        <v>31</v>
      </c>
      <c r="H15" s="18" t="s">
        <v>32</v>
      </c>
    </row>
    <row r="16" customFormat="false" ht="15" hidden="false" customHeight="false" outlineLevel="0" collapsed="false">
      <c r="A16" s="19" t="s">
        <v>33</v>
      </c>
      <c r="B16" s="20" t="n">
        <f aca="false">COUNTIFS('Change Log'!$D:$D,$A16,'Change Log'!$B:$B,$E$4&amp;"*",'Change Log'!$C:$C,"Reported")</f>
        <v>1</v>
      </c>
      <c r="C16" s="20" t="n">
        <f aca="false">COUNTIFS('Change Log'!$D:$D,$A16,'Change Log'!$B:$B,$E$4&amp;"*",'Change Log'!$C:$C,"Reported",'Change Log'!$F:$F,"Critical")</f>
        <v>0</v>
      </c>
      <c r="D16" s="20" t="n">
        <f aca="false">COUNTIFS('Change Log'!$D:$D,$A16,'Change Log'!$B:$B,$E$4&amp;"*",'Change Log'!$C:$C,"Completed")</f>
        <v>0</v>
      </c>
      <c r="E16" s="20" t="n">
        <f aca="false">COUNTIFS('Change Log'!$D:$D,$A16,'Change Log'!$B:$B,$E$4&amp;"*",'Change Log'!$C:$C,"Cancelled")</f>
        <v>1</v>
      </c>
      <c r="F16" s="21" t="n">
        <f aca="false">SUMIFS('Change Log'!$M:$M,'Change Log'!$D:$D,$A16,'Change Log'!$B:$B,$E$4&amp;"*",'Change Log'!$C:$C,"Completed")</f>
        <v>0</v>
      </c>
      <c r="G16" s="21" t="n">
        <f aca="false">F16*Assumptions!$B$4</f>
        <v>0</v>
      </c>
      <c r="H16" s="21" t="n">
        <f aca="false">F16-G16</f>
        <v>0</v>
      </c>
    </row>
    <row r="17" customFormat="false" ht="15" hidden="false" customHeight="false" outlineLevel="0" collapsed="false">
      <c r="A17" s="19" t="s">
        <v>34</v>
      </c>
      <c r="B17" s="20" t="n">
        <f aca="false">COUNTIFS('Change Log'!$D:$D,$A17,'Change Log'!$B:$B,$E$4&amp;"*",'Change Log'!$C:$C,"Reported")</f>
        <v>0</v>
      </c>
      <c r="C17" s="20" t="n">
        <f aca="false">COUNTIFS('Change Log'!$D:$D,$A17,'Change Log'!$B:$B,$E$4&amp;"*",'Change Log'!$C:$C,"Reported",'Change Log'!$F:$F,"Critical")</f>
        <v>0</v>
      </c>
      <c r="D17" s="20" t="n">
        <f aca="false">COUNTIFS('Change Log'!$D:$D,$A17,'Change Log'!$B:$B,$E$4&amp;"*",'Change Log'!$C:$C,"Completed")</f>
        <v>0</v>
      </c>
      <c r="E17" s="20" t="n">
        <f aca="false">COUNTIFS('Change Log'!$D:$D,$A17,'Change Log'!$B:$B,$E$4&amp;"*",'Change Log'!$C:$C,"Cancelled")</f>
        <v>0</v>
      </c>
      <c r="F17" s="21" t="n">
        <f aca="false">SUMIFS('Change Log'!$M:$M,'Change Log'!$D:$D,$A17,'Change Log'!$B:$B,$E$4&amp;"*",'Change Log'!$C:$C,"Completed")</f>
        <v>0</v>
      </c>
      <c r="G17" s="21" t="n">
        <f aca="false">F17*Assumptions!$B$5</f>
        <v>0</v>
      </c>
      <c r="H17" s="21" t="n">
        <f aca="false">F17-G17</f>
        <v>0</v>
      </c>
    </row>
    <row r="18" customFormat="false" ht="15" hidden="false" customHeight="false" outlineLevel="0" collapsed="false">
      <c r="A18" s="19" t="s">
        <v>35</v>
      </c>
      <c r="B18" s="20" t="n">
        <f aca="false">COUNTIFS('Change Log'!$D:$D,$A18,'Change Log'!$B:$B,$E$4&amp;"*",'Change Log'!$C:$C,"Reported")</f>
        <v>0</v>
      </c>
      <c r="C18" s="20" t="n">
        <f aca="false">COUNTIFS('Change Log'!$D:$D,$A18,'Change Log'!$B:$B,$E$4&amp;"*",'Change Log'!$C:$C,"Reported",'Change Log'!$F:$F,"Critical")</f>
        <v>0</v>
      </c>
      <c r="D18" s="20" t="n">
        <f aca="false">COUNTIFS('Change Log'!$D:$D,$A18,'Change Log'!$B:$B,$E$4&amp;"*",'Change Log'!$C:$C,"Completed")</f>
        <v>0</v>
      </c>
      <c r="E18" s="20" t="n">
        <f aca="false">COUNTIFS('Change Log'!$D:$D,$A18,'Change Log'!$B:$B,$E$4&amp;"*",'Change Log'!$C:$C,"Cancelled")</f>
        <v>0</v>
      </c>
      <c r="F18" s="21" t="n">
        <f aca="false">SUMIFS('Change Log'!$M:$M,'Change Log'!$D:$D,$A18,'Change Log'!$B:$B,$E$4&amp;"*",'Change Log'!$C:$C,"Completed")</f>
        <v>0</v>
      </c>
      <c r="G18" s="21" t="n">
        <f aca="false">F18*Assumptions!$B$6</f>
        <v>0</v>
      </c>
      <c r="H18" s="21" t="n">
        <f aca="false">F18-G18</f>
        <v>0</v>
      </c>
    </row>
    <row r="19" customFormat="false" ht="15" hidden="false" customHeight="false" outlineLevel="0" collapsed="false">
      <c r="A19" s="19" t="s">
        <v>36</v>
      </c>
      <c r="B19" s="20" t="n">
        <f aca="false">COUNTIFS('Change Log'!$D:$D,$A19,'Change Log'!$B:$B,$E$4&amp;"*",'Change Log'!$C:$C,"Reported")</f>
        <v>0</v>
      </c>
      <c r="C19" s="20" t="n">
        <f aca="false">COUNTIFS('Change Log'!$D:$D,$A19,'Change Log'!$B:$B,$E$4&amp;"*",'Change Log'!$C:$C,"Reported",'Change Log'!$F:$F,"Critical")</f>
        <v>0</v>
      </c>
      <c r="D19" s="20" t="n">
        <f aca="false">COUNTIFS('Change Log'!$D:$D,$A19,'Change Log'!$B:$B,$E$4&amp;"*",'Change Log'!$C:$C,"Completed")</f>
        <v>0</v>
      </c>
      <c r="E19" s="20" t="n">
        <f aca="false">COUNTIFS('Change Log'!$D:$D,$A19,'Change Log'!$B:$B,$E$4&amp;"*",'Change Log'!$C:$C,"Cancelled")</f>
        <v>0</v>
      </c>
      <c r="F19" s="21" t="n">
        <f aca="false">SUMIFS('Change Log'!$M:$M,'Change Log'!$D:$D,$A19,'Change Log'!$B:$B,$E$4&amp;"*",'Change Log'!$C:$C,"Completed")</f>
        <v>0</v>
      </c>
      <c r="G19" s="21" t="n">
        <f aca="false">F19*Assumptions!$B$7</f>
        <v>0</v>
      </c>
      <c r="H19" s="21" t="n">
        <f aca="false">F19-G19</f>
        <v>0</v>
      </c>
    </row>
    <row r="20" customFormat="false" ht="15" hidden="false" customHeight="false" outlineLevel="0" collapsed="false">
      <c r="A20" s="22" t="s">
        <v>37</v>
      </c>
      <c r="B20" s="23" t="n">
        <f aca="false">SUM(B16:B19)</f>
        <v>1</v>
      </c>
      <c r="C20" s="23" t="n">
        <f aca="false">SUM(C16:C19)</f>
        <v>0</v>
      </c>
      <c r="D20" s="23" t="n">
        <f aca="false">SUM(D16:D19)</f>
        <v>0</v>
      </c>
      <c r="E20" s="23" t="n">
        <f aca="false">SUM(E16:E19)</f>
        <v>1</v>
      </c>
      <c r="F20" s="24" t="n">
        <f aca="false">SUM(F16:F19)</f>
        <v>0</v>
      </c>
      <c r="G20" s="24" t="n">
        <f aca="false">SUM(G16:G19)</f>
        <v>0</v>
      </c>
      <c r="H20" s="24" t="n">
        <f aca="false">SUM(H16:H19)</f>
        <v>0</v>
      </c>
    </row>
    <row r="22" customFormat="false" ht="15" hidden="false" customHeight="false" outlineLevel="0" collapsed="false">
      <c r="A22" s="17" t="s">
        <v>39</v>
      </c>
    </row>
    <row r="23" customFormat="false" ht="30" hidden="false" customHeight="true" outlineLevel="0" collapsed="false">
      <c r="A23" s="18" t="s">
        <v>28</v>
      </c>
      <c r="B23" s="18" t="s">
        <v>4</v>
      </c>
      <c r="C23" s="18" t="s">
        <v>29</v>
      </c>
      <c r="D23" s="18" t="s">
        <v>3</v>
      </c>
      <c r="E23" s="18" t="s">
        <v>30</v>
      </c>
      <c r="F23" s="18" t="s">
        <v>2</v>
      </c>
      <c r="G23" s="18" t="s">
        <v>31</v>
      </c>
      <c r="H23" s="18" t="s">
        <v>32</v>
      </c>
    </row>
    <row r="24" customFormat="false" ht="15" hidden="false" customHeight="false" outlineLevel="0" collapsed="false">
      <c r="A24" s="19" t="s">
        <v>33</v>
      </c>
      <c r="B24" s="20" t="n">
        <f aca="false">COUNTIFS('Change Log'!$D:$D,$A24,'Change Log'!$B:$B,"*",'Change Log'!$C:$C,"Reported")</f>
        <v>1</v>
      </c>
      <c r="C24" s="20" t="n">
        <f aca="false">COUNTIFS('Change Log'!$D:$D,$A24,'Change Log'!$B:$B,"*",'Change Log'!$C:$C,"Reported",'Change Log'!$F:$F,"Critical")</f>
        <v>0</v>
      </c>
      <c r="D24" s="20" t="n">
        <f aca="false">COUNTIFS('Change Log'!$D:$D,$A24,'Change Log'!$B:$B,"*",'Change Log'!$C:$C,"Completed")</f>
        <v>0</v>
      </c>
      <c r="E24" s="20" t="n">
        <f aca="false">COUNTIFS('Change Log'!$D:$D,$A24,'Change Log'!$B:$B,"*",'Change Log'!$C:$C,"Cancelled")</f>
        <v>1</v>
      </c>
      <c r="F24" s="21" t="n">
        <f aca="false">SUMIFS('Change Log'!$M:$M,'Change Log'!$D:$D,$A24,'Change Log'!$B:$B,"*",'Change Log'!$C:$C,"Completed")</f>
        <v>0</v>
      </c>
      <c r="G24" s="21" t="n">
        <f aca="false">F24*Assumptions!$B$4</f>
        <v>0</v>
      </c>
      <c r="H24" s="21" t="n">
        <f aca="false">F24-G24</f>
        <v>0</v>
      </c>
    </row>
    <row r="25" customFormat="false" ht="15" hidden="false" customHeight="false" outlineLevel="0" collapsed="false">
      <c r="A25" s="19" t="s">
        <v>34</v>
      </c>
      <c r="B25" s="20" t="n">
        <f aca="false">COUNTIFS('Change Log'!$D:$D,$A25,'Change Log'!$B:$B,"*",'Change Log'!$C:$C,"Reported")</f>
        <v>0</v>
      </c>
      <c r="C25" s="20" t="n">
        <f aca="false">COUNTIFS('Change Log'!$D:$D,$A25,'Change Log'!$B:$B,"*",'Change Log'!$C:$C,"Reported",'Change Log'!$F:$F,"Critical")</f>
        <v>0</v>
      </c>
      <c r="D25" s="20" t="n">
        <f aca="false">COUNTIFS('Change Log'!$D:$D,$A25,'Change Log'!$B:$B,"*",'Change Log'!$C:$C,"Completed")</f>
        <v>0</v>
      </c>
      <c r="E25" s="20" t="n">
        <f aca="false">COUNTIFS('Change Log'!$D:$D,$A25,'Change Log'!$B:$B,"*",'Change Log'!$C:$C,"Cancelled")</f>
        <v>0</v>
      </c>
      <c r="F25" s="21" t="n">
        <f aca="false">SUMIFS('Change Log'!$M:$M,'Change Log'!$D:$D,$A25,'Change Log'!$B:$B,"*",'Change Log'!$C:$C,"Completed")</f>
        <v>0</v>
      </c>
      <c r="G25" s="21" t="n">
        <f aca="false">F25*Assumptions!$B$5</f>
        <v>0</v>
      </c>
      <c r="H25" s="21" t="n">
        <f aca="false">F25-G25</f>
        <v>0</v>
      </c>
    </row>
    <row r="26" customFormat="false" ht="15" hidden="false" customHeight="false" outlineLevel="0" collapsed="false">
      <c r="A26" s="19" t="s">
        <v>35</v>
      </c>
      <c r="B26" s="20" t="n">
        <f aca="false">COUNTIFS('Change Log'!$D:$D,$A26,'Change Log'!$B:$B,"*",'Change Log'!$C:$C,"Reported")</f>
        <v>0</v>
      </c>
      <c r="C26" s="20" t="n">
        <f aca="false">COUNTIFS('Change Log'!$D:$D,$A26,'Change Log'!$B:$B,"*",'Change Log'!$C:$C,"Reported",'Change Log'!$F:$F,"Critical")</f>
        <v>0</v>
      </c>
      <c r="D26" s="20" t="n">
        <f aca="false">COUNTIFS('Change Log'!$D:$D,$A26,'Change Log'!$B:$B,"*",'Change Log'!$C:$C,"Completed")</f>
        <v>0</v>
      </c>
      <c r="E26" s="20" t="n">
        <f aca="false">COUNTIFS('Change Log'!$D:$D,$A26,'Change Log'!$B:$B,"*",'Change Log'!$C:$C,"Cancelled")</f>
        <v>0</v>
      </c>
      <c r="F26" s="21" t="n">
        <f aca="false">SUMIFS('Change Log'!$M:$M,'Change Log'!$D:$D,$A26,'Change Log'!$B:$B,"*",'Change Log'!$C:$C,"Completed")</f>
        <v>0</v>
      </c>
      <c r="G26" s="21" t="n">
        <f aca="false">F26*Assumptions!$B$6</f>
        <v>0</v>
      </c>
      <c r="H26" s="21" t="n">
        <f aca="false">F26-G26</f>
        <v>0</v>
      </c>
    </row>
    <row r="27" customFormat="false" ht="15" hidden="false" customHeight="false" outlineLevel="0" collapsed="false">
      <c r="A27" s="19" t="s">
        <v>36</v>
      </c>
      <c r="B27" s="20" t="n">
        <f aca="false">COUNTIFS('Change Log'!$D:$D,$A27,'Change Log'!$B:$B,"*",'Change Log'!$C:$C,"Reported")</f>
        <v>0</v>
      </c>
      <c r="C27" s="20" t="n">
        <f aca="false">COUNTIFS('Change Log'!$D:$D,$A27,'Change Log'!$B:$B,"*",'Change Log'!$C:$C,"Reported",'Change Log'!$F:$F,"Critical")</f>
        <v>0</v>
      </c>
      <c r="D27" s="20" t="n">
        <f aca="false">COUNTIFS('Change Log'!$D:$D,$A27,'Change Log'!$B:$B,"*",'Change Log'!$C:$C,"Completed")</f>
        <v>0</v>
      </c>
      <c r="E27" s="20" t="n">
        <f aca="false">COUNTIFS('Change Log'!$D:$D,$A27,'Change Log'!$B:$B,"*",'Change Log'!$C:$C,"Cancelled")</f>
        <v>0</v>
      </c>
      <c r="F27" s="21" t="n">
        <f aca="false">SUMIFS('Change Log'!$M:$M,'Change Log'!$D:$D,$A27,'Change Log'!$B:$B,"*",'Change Log'!$C:$C,"Completed")</f>
        <v>0</v>
      </c>
      <c r="G27" s="21" t="n">
        <f aca="false">F27*Assumptions!$B$7</f>
        <v>0</v>
      </c>
      <c r="H27" s="21" t="n">
        <f aca="false">F27-G27</f>
        <v>0</v>
      </c>
    </row>
    <row r="28" customFormat="false" ht="15" hidden="false" customHeight="false" outlineLevel="0" collapsed="false">
      <c r="A28" s="22" t="s">
        <v>37</v>
      </c>
      <c r="B28" s="23" t="n">
        <f aca="false">SUM(B24:B27)</f>
        <v>1</v>
      </c>
      <c r="C28" s="23" t="n">
        <f aca="false">SUM(C24:C27)</f>
        <v>0</v>
      </c>
      <c r="D28" s="23" t="n">
        <f aca="false">SUM(D24:D27)</f>
        <v>0</v>
      </c>
      <c r="E28" s="23" t="n">
        <f aca="false">SUM(E24:E27)</f>
        <v>1</v>
      </c>
      <c r="F28" s="24" t="n">
        <f aca="false">SUM(F24:F27)</f>
        <v>0</v>
      </c>
      <c r="G28" s="24" t="n">
        <f aca="false">SUM(G24:G27)</f>
        <v>0</v>
      </c>
      <c r="H28" s="24" t="n">
        <f aca="false">SUM(H24:H27)</f>
        <v>0</v>
      </c>
    </row>
    <row r="30" customFormat="false" ht="15" hidden="false" customHeight="false" outlineLevel="0" collapsed="false">
      <c r="A30" s="25" t="s">
        <v>40</v>
      </c>
    </row>
    <row r="31" customFormat="false" ht="15" hidden="false" customHeight="false" outlineLevel="0" collapsed="false">
      <c r="A31" s="12" t="s">
        <v>41</v>
      </c>
    </row>
  </sheetData>
  <hyperlinks>
    <hyperlink ref="A31" r:id="rId1" display="Open the Facilities and Grounds ap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1" min="9" style="0" width="18"/>
    <col collapsed="false" customWidth="true" hidden="false" outlineLevel="0" max="12" min="12" style="26" width="10"/>
    <col collapsed="false" customWidth="true" hidden="false" outlineLevel="0" max="13" min="13" style="26" width="11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8"/>
    <col collapsed="false" customWidth="true" hidden="false" outlineLevel="0" max="17" min="17" style="0" width="30"/>
  </cols>
  <sheetData>
    <row r="1" customFormat="false" ht="15" hidden="false" customHeight="false" outlineLevel="0" collapsed="false">
      <c r="A1" s="27" t="s">
        <v>42</v>
      </c>
      <c r="B1" s="27" t="s">
        <v>1</v>
      </c>
      <c r="C1" s="27" t="s">
        <v>43</v>
      </c>
      <c r="D1" s="27" t="s">
        <v>28</v>
      </c>
      <c r="E1" s="27" t="s">
        <v>44</v>
      </c>
      <c r="F1" s="27" t="s">
        <v>45</v>
      </c>
      <c r="G1" s="27" t="s">
        <v>46</v>
      </c>
      <c r="H1" s="27" t="s">
        <v>47</v>
      </c>
      <c r="I1" s="27" t="s">
        <v>48</v>
      </c>
      <c r="J1" s="27" t="s">
        <v>49</v>
      </c>
      <c r="K1" s="27" t="s">
        <v>50</v>
      </c>
      <c r="L1" s="27" t="s">
        <v>51</v>
      </c>
      <c r="M1" s="27" t="s">
        <v>52</v>
      </c>
      <c r="N1" s="27" t="s">
        <v>53</v>
      </c>
      <c r="O1" s="27" t="s">
        <v>54</v>
      </c>
      <c r="P1" s="27" t="s">
        <v>55</v>
      </c>
      <c r="Q1" s="27" t="s">
        <v>56</v>
      </c>
    </row>
    <row r="2" customFormat="false" ht="15" hidden="false" customHeight="false" outlineLevel="0" collapsed="false">
      <c r="A2" s="28" t="s">
        <v>57</v>
      </c>
      <c r="B2" s="28" t="s">
        <v>58</v>
      </c>
      <c r="C2" s="28" t="s">
        <v>59</v>
      </c>
      <c r="D2" s="28" t="s">
        <v>59</v>
      </c>
      <c r="E2" s="28" t="s">
        <v>60</v>
      </c>
      <c r="F2" s="28"/>
      <c r="G2" s="28"/>
      <c r="H2" s="28"/>
      <c r="I2" s="28"/>
      <c r="J2" s="28"/>
      <c r="K2" s="28"/>
      <c r="L2" s="29"/>
      <c r="M2" s="29"/>
      <c r="N2" s="28"/>
      <c r="O2" s="28" t="s">
        <v>61</v>
      </c>
      <c r="P2" s="28"/>
      <c r="Q2" s="28" t="s">
        <v>62</v>
      </c>
    </row>
    <row r="3" customFormat="false" ht="15" hidden="false" customHeight="false" outlineLevel="0" collapsed="false">
      <c r="A3" s="30" t="s">
        <v>63</v>
      </c>
      <c r="B3" s="30" t="s">
        <v>58</v>
      </c>
      <c r="C3" s="30" t="s">
        <v>4</v>
      </c>
      <c r="D3" s="30" t="s">
        <v>33</v>
      </c>
      <c r="E3" s="30" t="s">
        <v>64</v>
      </c>
      <c r="F3" s="30" t="s">
        <v>65</v>
      </c>
      <c r="G3" s="30" t="s">
        <v>66</v>
      </c>
      <c r="H3" s="30" t="s">
        <v>67</v>
      </c>
      <c r="I3" s="30" t="s">
        <v>68</v>
      </c>
      <c r="J3" s="30"/>
      <c r="K3" s="30"/>
      <c r="L3" s="30"/>
      <c r="M3" s="30"/>
      <c r="N3" s="30"/>
      <c r="O3" s="30" t="s">
        <v>61</v>
      </c>
      <c r="P3" s="30" t="s">
        <v>69</v>
      </c>
      <c r="Q3" s="30" t="s">
        <v>70</v>
      </c>
    </row>
    <row r="4" customFormat="false" ht="15" hidden="false" customHeight="false" outlineLevel="0" collapsed="false">
      <c r="A4" s="30" t="s">
        <v>71</v>
      </c>
      <c r="B4" s="30" t="s">
        <v>58</v>
      </c>
      <c r="C4" s="30" t="s">
        <v>30</v>
      </c>
      <c r="D4" s="30" t="s">
        <v>33</v>
      </c>
      <c r="E4" s="30" t="s">
        <v>64</v>
      </c>
      <c r="F4" s="30" t="s">
        <v>65</v>
      </c>
      <c r="G4" s="30" t="s">
        <v>30</v>
      </c>
      <c r="H4" s="30" t="s">
        <v>67</v>
      </c>
      <c r="I4" s="30" t="s">
        <v>68</v>
      </c>
      <c r="J4" s="30"/>
      <c r="K4" s="30"/>
      <c r="L4" s="30"/>
      <c r="M4" s="30"/>
      <c r="N4" s="30"/>
      <c r="O4" s="30" t="s">
        <v>61</v>
      </c>
      <c r="P4" s="30" t="s">
        <v>69</v>
      </c>
      <c r="Q4" s="3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31" t="s">
        <v>72</v>
      </c>
    </row>
    <row r="2" customFormat="false" ht="15" hidden="false" customHeight="false" outlineLevel="0" collapsed="false">
      <c r="A2" s="14" t="s">
        <v>73</v>
      </c>
    </row>
    <row r="3" customFormat="false" ht="15" hidden="false" customHeight="false" outlineLevel="0" collapsed="false">
      <c r="A3" s="32" t="s">
        <v>28</v>
      </c>
      <c r="B3" s="32" t="s">
        <v>31</v>
      </c>
      <c r="C3" s="32" t="s">
        <v>32</v>
      </c>
      <c r="D3" s="32" t="s">
        <v>74</v>
      </c>
    </row>
    <row r="4" customFormat="false" ht="15" hidden="false" customHeight="false" outlineLevel="0" collapsed="false">
      <c r="A4" s="19" t="s">
        <v>33</v>
      </c>
      <c r="B4" s="33" t="n">
        <v>0.5</v>
      </c>
      <c r="C4" s="34" t="n">
        <f aca="false">1-B4</f>
        <v>0.5</v>
      </c>
      <c r="D4" s="19" t="s">
        <v>75</v>
      </c>
    </row>
    <row r="5" customFormat="false" ht="15" hidden="false" customHeight="false" outlineLevel="0" collapsed="false">
      <c r="A5" s="19" t="s">
        <v>34</v>
      </c>
      <c r="B5" s="33" t="n">
        <v>0.75</v>
      </c>
      <c r="C5" s="34" t="n">
        <f aca="false">1-B5</f>
        <v>0.25</v>
      </c>
      <c r="D5" s="19" t="s">
        <v>76</v>
      </c>
    </row>
    <row r="6" customFormat="false" ht="15" hidden="false" customHeight="false" outlineLevel="0" collapsed="false">
      <c r="A6" s="19" t="s">
        <v>35</v>
      </c>
      <c r="B6" s="33" t="n">
        <v>1</v>
      </c>
      <c r="C6" s="34" t="n">
        <f aca="false">1-B6</f>
        <v>0</v>
      </c>
      <c r="D6" s="19" t="s">
        <v>77</v>
      </c>
    </row>
    <row r="7" customFormat="false" ht="15" hidden="false" customHeight="false" outlineLevel="0" collapsed="false">
      <c r="A7" s="19" t="s">
        <v>36</v>
      </c>
      <c r="B7" s="33" t="n">
        <v>0</v>
      </c>
      <c r="C7" s="34" t="n">
        <f aca="false">1-B7</f>
        <v>1</v>
      </c>
      <c r="D7" s="19" t="s">
        <v>78</v>
      </c>
    </row>
    <row r="9" customFormat="false" ht="15" hidden="false" customHeight="false" outlineLevel="0" collapsed="false">
      <c r="A9" s="2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5" t="s">
        <v>80</v>
      </c>
    </row>
    <row r="2" customFormat="false" ht="15" hidden="false" customHeight="false" outlineLevel="0" collapsed="false">
      <c r="A2" s="36"/>
    </row>
    <row r="3" customFormat="false" ht="26.85" hidden="false" customHeight="false" outlineLevel="0" collapsed="false">
      <c r="A3" s="36" t="s">
        <v>81</v>
      </c>
    </row>
    <row r="4" customFormat="false" ht="26.85" hidden="false" customHeight="false" outlineLevel="0" collapsed="false">
      <c r="A4" s="36" t="s">
        <v>82</v>
      </c>
    </row>
    <row r="5" customFormat="false" ht="26.85" hidden="false" customHeight="false" outlineLevel="0" collapsed="false">
      <c r="A5" s="36" t="s">
        <v>83</v>
      </c>
    </row>
    <row r="6" customFormat="false" ht="15" hidden="false" customHeight="false" outlineLevel="0" collapsed="false">
      <c r="A6" s="36" t="s">
        <v>84</v>
      </c>
    </row>
    <row r="7" customFormat="false" ht="15" hidden="false" customHeight="false" outlineLevel="0" collapsed="false">
      <c r="A7" s="36" t="s">
        <v>85</v>
      </c>
    </row>
    <row r="8" customFormat="false" ht="15" hidden="false" customHeight="false" outlineLevel="0" collapsed="false">
      <c r="A8" s="36" t="s">
        <v>86</v>
      </c>
    </row>
    <row r="9" customFormat="false" ht="15" hidden="false" customHeight="false" outlineLevel="0" collapsed="false">
      <c r="A9" s="36"/>
    </row>
    <row r="10" customFormat="false" ht="15" hidden="false" customHeight="false" outlineLevel="0" collapsed="false">
      <c r="A10" s="3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2026-10-10T21:35:45Z</dcterms:created>
  <dc:creator>openpyxl</dc:creator>
  <dc:description/>
  <dc:language>en-US</dc:language>
  <cp:lastModifiedBy/>
  <dcterms:modified xsi:type="dcterms:W3CDTF">2026-10-10T14:35:48Z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